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bertayac-my.sharepoint.com/personal/m521764_uad_ac_uk/Documents/"/>
    </mc:Choice>
  </mc:AlternateContent>
  <xr:revisionPtr revIDLastSave="0" documentId="8_{104F89F6-5DAE-47A3-BF84-BBF05E8844C8}" xr6:coauthVersionLast="47" xr6:coauthVersionMax="47" xr10:uidLastSave="{00000000-0000-0000-0000-000000000000}"/>
  <bookViews>
    <workbookView xWindow="-28920" yWindow="-120" windowWidth="29040" windowHeight="15720" xr2:uid="{F799BE1E-A473-4392-AC10-C92D79FB9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9" i="1"/>
  <c r="K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" i="1"/>
  <c r="K4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H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E2" i="1"/>
  <c r="D2" i="1"/>
</calcChain>
</file>

<file path=xl/sharedStrings.xml><?xml version="1.0" encoding="utf-8"?>
<sst xmlns="http://schemas.openxmlformats.org/spreadsheetml/2006/main" count="12" uniqueCount="12">
  <si>
    <t>panel</t>
  </si>
  <si>
    <t>distance to origin</t>
  </si>
  <si>
    <t>panel size</t>
  </si>
  <si>
    <t>side 1</t>
  </si>
  <si>
    <t>side 2</t>
  </si>
  <si>
    <t>angle at origin</t>
  </si>
  <si>
    <t>right edge</t>
  </si>
  <si>
    <t>left edge</t>
  </si>
  <si>
    <t>angle between this and next panel</t>
  </si>
  <si>
    <t>ANGLES TO USE</t>
  </si>
  <si>
    <t>OLD ANGLES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</si>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</sst>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1E67-29EC-456C-B0C8-76EBD15792C0}">
  <dimension ref="A1:M27"/>
  <sheetViews>
    <sheetView tabSelected="1" workbookViewId="0">
      <selection activeCell="Q26" sqref="Q26"/>
    </sheetView>
  </sheetViews>
  <sheetFormatPr defaultRowHeight="15" x14ac:dyDescent="0.25"/>
  <cols>
    <col min="1" max="1" width="6" bestFit="1" customWidth="1"/>
    <col min="2" max="2" width="16.42578125" bestFit="1" customWidth="1"/>
    <col min="3" max="3" width="9.85546875" bestFit="1" customWidth="1"/>
    <col min="6" max="6" width="13.7109375" bestFit="1" customWidth="1"/>
    <col min="7" max="8" width="12" bestFit="1" customWidth="1"/>
    <col min="9" max="9" width="31.28515625" bestFit="1" customWidth="1"/>
    <col min="11" max="11" width="14.42578125" bestFit="1" customWidth="1"/>
    <col min="12" max="12" width="11.7109375" bestFit="1" customWidth="1"/>
    <col min="13" max="13" width="12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2" t="s">
        <v>8</v>
      </c>
      <c r="K1" s="1" t="s">
        <v>9</v>
      </c>
      <c r="L1" s="2" t="s">
        <v>10</v>
      </c>
      <c r="M1" s="2" t="s">
        <v>11</v>
      </c>
    </row>
    <row r="2" spans="1:13" x14ac:dyDescent="0.25">
      <c r="A2" s="1">
        <v>1</v>
      </c>
      <c r="B2" s="1">
        <v>8420</v>
      </c>
      <c r="C2" s="1">
        <v>600</v>
      </c>
      <c r="D2" s="1">
        <f>B2</f>
        <v>8420</v>
      </c>
      <c r="E2" s="1">
        <f>B3</f>
        <v>8444</v>
      </c>
      <c r="F2" s="1">
        <f>DEGREES(ACOS((D2^2 + E2^2 - C2^2) / (2 * D2 * E2)))</f>
        <v>4.0746239350771214</v>
      </c>
      <c r="G2" s="1">
        <f>DEGREES(ACOS((D2^2 + C2^2 - E2^2) / (2 * D2 * C2)))</f>
        <v>90.253680954752426</v>
      </c>
      <c r="H2" s="1">
        <f>DEGREES(ACOS((E2^2 + C2^2 - D2^2) / (2 * E2 * C2)))</f>
        <v>85.671695110170489</v>
      </c>
      <c r="I2" s="1">
        <f>180-(H2+G3)</f>
        <v>3.2730339427672561E-2</v>
      </c>
      <c r="K2" s="1">
        <f>G2</f>
        <v>90.253680954752426</v>
      </c>
      <c r="L2" s="1">
        <v>90</v>
      </c>
      <c r="M2" s="1">
        <f>K2-L2</f>
        <v>0.25368095475242569</v>
      </c>
    </row>
    <row r="3" spans="1:13" x14ac:dyDescent="0.25">
      <c r="A3" s="1">
        <v>2</v>
      </c>
      <c r="B3" s="1">
        <v>8444</v>
      </c>
      <c r="C3" s="1">
        <v>600</v>
      </c>
      <c r="D3" s="1">
        <f t="shared" ref="D3:D27" si="0">B3</f>
        <v>8444</v>
      </c>
      <c r="E3" s="1">
        <f t="shared" ref="E3:E27" si="1">B4</f>
        <v>8510</v>
      </c>
      <c r="F3" s="1">
        <f t="shared" ref="F3:F26" si="2">DEGREES(ACOS((D3^2 + E3^2 - C3^2) / (2 * D3 * E3)))</f>
        <v>4.0316338518456805</v>
      </c>
      <c r="G3" s="1">
        <f t="shared" ref="G3:G26" si="3">DEGREES(ACOS((D3^2 + C3^2 - E3^2) / (2 * D3 * C3)))</f>
        <v>94.295574550401838</v>
      </c>
      <c r="H3" s="1">
        <f t="shared" ref="H3:H26" si="4">DEGREES(ACOS((E3^2 + C3^2 - D3^2) / (2 * E3 * C3)))</f>
        <v>81.672791597752465</v>
      </c>
      <c r="I3" s="1">
        <f t="shared" ref="I3:I26" si="5">180-(H3+G4)</f>
        <v>-0.15935429180763094</v>
      </c>
      <c r="K3" s="1">
        <f>I2</f>
        <v>3.2730339427672561E-2</v>
      </c>
      <c r="L3" s="1">
        <v>0</v>
      </c>
      <c r="M3" s="1">
        <f t="shared" ref="M3:M26" si="6">K3-L3</f>
        <v>3.2730339427672561E-2</v>
      </c>
    </row>
    <row r="4" spans="1:13" x14ac:dyDescent="0.25">
      <c r="A4" s="1">
        <v>3</v>
      </c>
      <c r="B4" s="1">
        <v>8510</v>
      </c>
      <c r="C4" s="1">
        <v>600</v>
      </c>
      <c r="D4" s="1">
        <f t="shared" si="0"/>
        <v>8510</v>
      </c>
      <c r="E4" s="1">
        <f t="shared" si="1"/>
        <v>8619</v>
      </c>
      <c r="F4" s="1">
        <f t="shared" si="2"/>
        <v>3.9480186673307101</v>
      </c>
      <c r="G4" s="1">
        <f t="shared" si="3"/>
        <v>98.486562694055181</v>
      </c>
      <c r="H4" s="1">
        <f t="shared" si="4"/>
        <v>77.565418638614091</v>
      </c>
      <c r="I4" s="1">
        <f t="shared" si="5"/>
        <v>-0.31911372002039684</v>
      </c>
      <c r="K4" s="1">
        <f t="shared" ref="K4:K26" si="7">I3</f>
        <v>-0.15935429180763094</v>
      </c>
      <c r="L4" s="1">
        <v>0</v>
      </c>
      <c r="M4" s="1">
        <f t="shared" si="6"/>
        <v>-0.15935429180763094</v>
      </c>
    </row>
    <row r="5" spans="1:13" x14ac:dyDescent="0.25">
      <c r="A5" s="1">
        <v>4</v>
      </c>
      <c r="B5" s="1">
        <v>8619</v>
      </c>
      <c r="C5" s="1">
        <v>600</v>
      </c>
      <c r="D5" s="1">
        <f t="shared" si="0"/>
        <v>8619</v>
      </c>
      <c r="E5" s="1">
        <f t="shared" si="1"/>
        <v>8771</v>
      </c>
      <c r="F5" s="1">
        <f t="shared" si="2"/>
        <v>3.8255883754424458</v>
      </c>
      <c r="G5" s="1">
        <f t="shared" si="3"/>
        <v>102.75369508140631</v>
      </c>
      <c r="H5" s="1">
        <f t="shared" si="4"/>
        <v>73.420716543151215</v>
      </c>
      <c r="I5" s="1">
        <f t="shared" si="5"/>
        <v>-0.33867462898530221</v>
      </c>
      <c r="K5" s="1">
        <f>I4</f>
        <v>-0.31911372002039684</v>
      </c>
      <c r="L5" s="1">
        <v>0</v>
      </c>
      <c r="M5" s="1">
        <f t="shared" si="6"/>
        <v>-0.31911372002039684</v>
      </c>
    </row>
    <row r="6" spans="1:13" x14ac:dyDescent="0.25">
      <c r="A6" s="1">
        <v>5</v>
      </c>
      <c r="B6" s="1">
        <v>8771</v>
      </c>
      <c r="C6" s="1">
        <v>600</v>
      </c>
      <c r="D6" s="1">
        <f t="shared" si="0"/>
        <v>8771</v>
      </c>
      <c r="E6" s="1">
        <f t="shared" si="1"/>
        <v>8964</v>
      </c>
      <c r="F6" s="1">
        <f t="shared" si="2"/>
        <v>3.6715991636661536</v>
      </c>
      <c r="G6" s="1">
        <f t="shared" si="3"/>
        <v>106.91795808583407</v>
      </c>
      <c r="H6" s="1">
        <f t="shared" si="4"/>
        <v>69.410442750499811</v>
      </c>
      <c r="I6" s="1">
        <f t="shared" si="5"/>
        <v>0.22771767266414145</v>
      </c>
      <c r="K6" s="1">
        <f t="shared" si="7"/>
        <v>-0.33867462898530221</v>
      </c>
      <c r="L6" s="1">
        <v>0</v>
      </c>
      <c r="M6" s="1">
        <f t="shared" si="6"/>
        <v>-0.33867462898530221</v>
      </c>
    </row>
    <row r="7" spans="1:13" x14ac:dyDescent="0.25">
      <c r="A7" s="1">
        <v>6</v>
      </c>
      <c r="B7" s="1">
        <v>8964</v>
      </c>
      <c r="C7" s="1">
        <v>600</v>
      </c>
      <c r="D7" s="1">
        <f t="shared" si="0"/>
        <v>8964</v>
      </c>
      <c r="E7" s="1">
        <f t="shared" si="1"/>
        <v>9190</v>
      </c>
      <c r="F7" s="1">
        <f t="shared" si="2"/>
        <v>3.5091962764884679</v>
      </c>
      <c r="G7" s="1">
        <f t="shared" si="3"/>
        <v>110.36183957683606</v>
      </c>
      <c r="H7" s="1">
        <f t="shared" si="4"/>
        <v>66.128964146675429</v>
      </c>
      <c r="I7" s="1">
        <f t="shared" si="5"/>
        <v>-0.34931652333267493</v>
      </c>
      <c r="K7" s="1">
        <f t="shared" si="7"/>
        <v>0.22771767266414145</v>
      </c>
      <c r="L7" s="1">
        <v>0</v>
      </c>
      <c r="M7" s="1">
        <f t="shared" si="6"/>
        <v>0.22771767266414145</v>
      </c>
    </row>
    <row r="8" spans="1:13" x14ac:dyDescent="0.25">
      <c r="A8" s="1">
        <v>7</v>
      </c>
      <c r="B8" s="1">
        <v>9190</v>
      </c>
      <c r="C8" s="1">
        <v>600</v>
      </c>
      <c r="D8" s="1">
        <f t="shared" si="0"/>
        <v>9190</v>
      </c>
      <c r="E8" s="1">
        <f t="shared" si="1"/>
        <v>9452</v>
      </c>
      <c r="F8" s="1">
        <f t="shared" si="2"/>
        <v>3.3187590112339107</v>
      </c>
      <c r="G8" s="1">
        <f t="shared" si="3"/>
        <v>114.22035237665723</v>
      </c>
      <c r="H8" s="1">
        <f t="shared" si="4"/>
        <v>62.460888612108825</v>
      </c>
      <c r="I8" s="1">
        <f t="shared" si="5"/>
        <v>3.3803419825673302</v>
      </c>
      <c r="K8" s="1">
        <f t="shared" si="7"/>
        <v>-0.34931652333267493</v>
      </c>
      <c r="L8" s="1">
        <v>0</v>
      </c>
      <c r="M8" s="1">
        <f t="shared" si="6"/>
        <v>-0.34931652333267493</v>
      </c>
    </row>
    <row r="9" spans="1:13" x14ac:dyDescent="0.25">
      <c r="A9" s="1">
        <v>8</v>
      </c>
      <c r="B9" s="1">
        <v>9452</v>
      </c>
      <c r="C9" s="1">
        <v>600</v>
      </c>
      <c r="D9" s="1">
        <f t="shared" si="0"/>
        <v>9452</v>
      </c>
      <c r="E9" s="1">
        <f t="shared" si="1"/>
        <v>9713</v>
      </c>
      <c r="F9" s="1">
        <f t="shared" si="2"/>
        <v>3.2310453504610073</v>
      </c>
      <c r="G9" s="1">
        <f t="shared" si="3"/>
        <v>114.15876940532384</v>
      </c>
      <c r="H9" s="1">
        <f t="shared" si="4"/>
        <v>62.610185244215131</v>
      </c>
      <c r="I9" s="1">
        <f t="shared" si="5"/>
        <v>9.8855650835346864</v>
      </c>
      <c r="K9" s="1">
        <f>I8</f>
        <v>3.3803419825673302</v>
      </c>
      <c r="L9" s="1">
        <v>3.5</v>
      </c>
      <c r="M9" s="1">
        <f t="shared" si="6"/>
        <v>-0.11965801743266979</v>
      </c>
    </row>
    <row r="10" spans="1:13" x14ac:dyDescent="0.25">
      <c r="A10" s="1">
        <v>9</v>
      </c>
      <c r="B10" s="1">
        <v>9713</v>
      </c>
      <c r="C10" s="1">
        <v>600</v>
      </c>
      <c r="D10" s="1">
        <f t="shared" si="0"/>
        <v>9713</v>
      </c>
      <c r="E10" s="1">
        <f t="shared" si="1"/>
        <v>9910</v>
      </c>
      <c r="F10" s="1">
        <f t="shared" si="2"/>
        <v>3.3101768365278965</v>
      </c>
      <c r="G10" s="1">
        <f t="shared" si="3"/>
        <v>107.50424967225017</v>
      </c>
      <c r="H10" s="1">
        <f t="shared" si="4"/>
        <v>69.185573491221916</v>
      </c>
      <c r="I10" s="1">
        <f t="shared" si="5"/>
        <v>9.6934224777363625</v>
      </c>
      <c r="K10" s="1">
        <f t="shared" si="7"/>
        <v>9.8855650835346864</v>
      </c>
      <c r="L10" s="1">
        <v>9.6999999999999993</v>
      </c>
      <c r="M10" s="1">
        <f t="shared" si="6"/>
        <v>0.18556508353468715</v>
      </c>
    </row>
    <row r="11" spans="1:13" x14ac:dyDescent="0.25">
      <c r="A11" s="1">
        <v>10</v>
      </c>
      <c r="B11" s="1">
        <v>9910</v>
      </c>
      <c r="C11" s="1">
        <v>600</v>
      </c>
      <c r="D11" s="1">
        <f t="shared" si="0"/>
        <v>9910</v>
      </c>
      <c r="E11" s="1">
        <f t="shared" si="1"/>
        <v>10043</v>
      </c>
      <c r="F11" s="1">
        <f t="shared" si="2"/>
        <v>3.360676887650468</v>
      </c>
      <c r="G11" s="1">
        <f t="shared" si="3"/>
        <v>101.12100403104172</v>
      </c>
      <c r="H11" s="1">
        <f t="shared" si="4"/>
        <v>75.51831908130778</v>
      </c>
      <c r="I11" s="1">
        <f t="shared" si="5"/>
        <v>9.2859372879467514</v>
      </c>
      <c r="K11" s="1">
        <f t="shared" si="7"/>
        <v>9.6934224777363625</v>
      </c>
      <c r="L11" s="1">
        <v>9.6</v>
      </c>
      <c r="M11" s="1">
        <f t="shared" si="6"/>
        <v>9.3422477736362808E-2</v>
      </c>
    </row>
    <row r="12" spans="1:13" x14ac:dyDescent="0.25">
      <c r="A12" s="1">
        <v>11</v>
      </c>
      <c r="B12" s="1">
        <v>10043</v>
      </c>
      <c r="C12" s="1">
        <v>600</v>
      </c>
      <c r="D12" s="1">
        <f t="shared" si="0"/>
        <v>10043</v>
      </c>
      <c r="E12" s="1">
        <f t="shared" si="1"/>
        <v>10115</v>
      </c>
      <c r="F12" s="1">
        <f t="shared" si="2"/>
        <v>3.3866692140169565</v>
      </c>
      <c r="G12" s="1">
        <f t="shared" si="3"/>
        <v>95.195743630745454</v>
      </c>
      <c r="H12" s="1">
        <f t="shared" si="4"/>
        <v>81.417587155237541</v>
      </c>
      <c r="I12" s="1">
        <f t="shared" si="5"/>
        <v>10.090913380477161</v>
      </c>
      <c r="K12" s="1">
        <f t="shared" si="7"/>
        <v>9.2859372879467514</v>
      </c>
      <c r="L12" s="1">
        <v>9.6999999999999993</v>
      </c>
      <c r="M12" s="1">
        <f t="shared" si="6"/>
        <v>-0.41406271205324785</v>
      </c>
    </row>
    <row r="13" spans="1:13" x14ac:dyDescent="0.25">
      <c r="A13" s="1">
        <v>12</v>
      </c>
      <c r="B13" s="1">
        <v>10115</v>
      </c>
      <c r="C13" s="1">
        <v>600</v>
      </c>
      <c r="D13" s="1">
        <f t="shared" si="0"/>
        <v>10115</v>
      </c>
      <c r="E13" s="1">
        <f t="shared" si="1"/>
        <v>10117</v>
      </c>
      <c r="F13" s="1">
        <f t="shared" si="2"/>
        <v>3.3988056383121341</v>
      </c>
      <c r="G13" s="1">
        <f t="shared" si="3"/>
        <v>88.491499464285312</v>
      </c>
      <c r="H13" s="1">
        <f t="shared" si="4"/>
        <v>88.109694897402562</v>
      </c>
      <c r="I13" s="1">
        <f t="shared" si="5"/>
        <v>9.418451932867157</v>
      </c>
      <c r="K13" s="1">
        <f t="shared" si="7"/>
        <v>10.090913380477161</v>
      </c>
      <c r="L13" s="1">
        <v>9.6999999999999993</v>
      </c>
      <c r="M13" s="1">
        <f t="shared" si="6"/>
        <v>0.39091338047716206</v>
      </c>
    </row>
    <row r="14" spans="1:13" x14ac:dyDescent="0.25">
      <c r="A14" s="1">
        <v>13</v>
      </c>
      <c r="B14" s="1">
        <v>10117</v>
      </c>
      <c r="C14" s="1">
        <v>600</v>
      </c>
      <c r="D14" s="1">
        <f t="shared" si="0"/>
        <v>10117</v>
      </c>
      <c r="E14" s="1">
        <f t="shared" si="1"/>
        <v>10056</v>
      </c>
      <c r="F14" s="1">
        <f t="shared" si="2"/>
        <v>3.3911158608688909</v>
      </c>
      <c r="G14" s="1">
        <f t="shared" si="3"/>
        <v>82.471853169730281</v>
      </c>
      <c r="H14" s="1">
        <f t="shared" si="4"/>
        <v>94.137030969400769</v>
      </c>
      <c r="I14" s="1">
        <f t="shared" si="5"/>
        <v>9.6620159374783157</v>
      </c>
      <c r="K14" s="1">
        <f t="shared" si="7"/>
        <v>9.418451932867157</v>
      </c>
      <c r="L14" s="1">
        <v>9.5</v>
      </c>
      <c r="M14" s="1">
        <f t="shared" si="6"/>
        <v>-8.1548067132843016E-2</v>
      </c>
    </row>
    <row r="15" spans="1:13" x14ac:dyDescent="0.25">
      <c r="A15" s="1">
        <v>14</v>
      </c>
      <c r="B15" s="1">
        <v>10056</v>
      </c>
      <c r="C15" s="1">
        <v>600</v>
      </c>
      <c r="D15" s="1">
        <f t="shared" si="0"/>
        <v>10056</v>
      </c>
      <c r="E15" s="1">
        <f t="shared" si="1"/>
        <v>9930</v>
      </c>
      <c r="F15" s="1">
        <f t="shared" si="2"/>
        <v>3.3639941956749868</v>
      </c>
      <c r="G15" s="1">
        <f t="shared" si="3"/>
        <v>76.200953093120901</v>
      </c>
      <c r="H15" s="1">
        <f t="shared" si="4"/>
        <v>100.43505271120412</v>
      </c>
      <c r="I15" s="1">
        <f t="shared" si="5"/>
        <v>3.6767593430150498</v>
      </c>
      <c r="K15" s="1">
        <f t="shared" si="7"/>
        <v>9.6620159374783157</v>
      </c>
      <c r="L15" s="1">
        <v>10</v>
      </c>
      <c r="M15" s="1">
        <f t="shared" si="6"/>
        <v>-0.33798406252168434</v>
      </c>
    </row>
    <row r="16" spans="1:13" x14ac:dyDescent="0.25">
      <c r="A16" s="1">
        <v>15</v>
      </c>
      <c r="B16" s="1">
        <v>9930</v>
      </c>
      <c r="C16" s="1">
        <v>600</v>
      </c>
      <c r="D16" s="1">
        <f t="shared" si="0"/>
        <v>9930</v>
      </c>
      <c r="E16" s="1">
        <f t="shared" si="1"/>
        <v>9801</v>
      </c>
      <c r="F16" s="1">
        <f t="shared" si="2"/>
        <v>3.4036970109386702</v>
      </c>
      <c r="G16" s="1">
        <f t="shared" si="3"/>
        <v>75.888187945780828</v>
      </c>
      <c r="H16" s="1">
        <f t="shared" si="4"/>
        <v>100.70811504328053</v>
      </c>
      <c r="I16" s="1">
        <f t="shared" si="5"/>
        <v>2.2621416071984868</v>
      </c>
      <c r="K16" s="1">
        <f t="shared" si="7"/>
        <v>3.6767593430150498</v>
      </c>
      <c r="L16" s="1">
        <v>3.3</v>
      </c>
      <c r="M16" s="1">
        <f t="shared" si="6"/>
        <v>0.37675934301504999</v>
      </c>
    </row>
    <row r="17" spans="1:13" x14ac:dyDescent="0.25">
      <c r="A17" s="1">
        <v>16</v>
      </c>
      <c r="B17" s="1">
        <v>9801</v>
      </c>
      <c r="C17" s="1">
        <v>600</v>
      </c>
      <c r="D17" s="1">
        <f t="shared" si="0"/>
        <v>9801</v>
      </c>
      <c r="E17" s="1">
        <f t="shared" si="1"/>
        <v>9684</v>
      </c>
      <c r="F17" s="1">
        <f t="shared" si="2"/>
        <v>3.4614593724217393</v>
      </c>
      <c r="G17" s="1">
        <f t="shared" si="3"/>
        <v>77.029743349520984</v>
      </c>
      <c r="H17" s="1">
        <f t="shared" si="4"/>
        <v>99.50879727805733</v>
      </c>
      <c r="I17" s="1">
        <f t="shared" si="5"/>
        <v>3.8698704408267304</v>
      </c>
      <c r="K17" s="1">
        <f t="shared" si="7"/>
        <v>2.2621416071984868</v>
      </c>
      <c r="L17" s="1">
        <v>2.9</v>
      </c>
      <c r="M17" s="1">
        <f t="shared" si="6"/>
        <v>-0.63785839280151313</v>
      </c>
    </row>
    <row r="18" spans="1:13" x14ac:dyDescent="0.25">
      <c r="A18" s="1">
        <v>17</v>
      </c>
      <c r="B18" s="1">
        <v>9684</v>
      </c>
      <c r="C18" s="1">
        <v>600</v>
      </c>
      <c r="D18" s="1">
        <f t="shared" si="0"/>
        <v>9684</v>
      </c>
      <c r="E18" s="1">
        <f t="shared" si="1"/>
        <v>9563</v>
      </c>
      <c r="F18" s="1">
        <f t="shared" si="2"/>
        <v>3.4994602064409124</v>
      </c>
      <c r="G18" s="1">
        <f t="shared" si="3"/>
        <v>76.621332281115926</v>
      </c>
      <c r="H18" s="1">
        <f t="shared" si="4"/>
        <v>99.879207512443173</v>
      </c>
      <c r="I18" s="1">
        <f t="shared" si="5"/>
        <v>3.0373424160810032</v>
      </c>
      <c r="K18" s="1">
        <f t="shared" si="7"/>
        <v>3.8698704408267304</v>
      </c>
      <c r="L18" s="1">
        <v>3.4</v>
      </c>
      <c r="M18" s="1">
        <f t="shared" si="6"/>
        <v>0.46987044082673046</v>
      </c>
    </row>
    <row r="19" spans="1:13" x14ac:dyDescent="0.25">
      <c r="A19" s="1">
        <v>18</v>
      </c>
      <c r="B19" s="1">
        <v>9563</v>
      </c>
      <c r="C19" s="1">
        <v>600</v>
      </c>
      <c r="D19" s="1">
        <f t="shared" si="0"/>
        <v>9563</v>
      </c>
      <c r="E19" s="1">
        <f t="shared" si="1"/>
        <v>9447</v>
      </c>
      <c r="F19" s="1">
        <f t="shared" si="2"/>
        <v>3.549173471090409</v>
      </c>
      <c r="G19" s="1">
        <f t="shared" si="3"/>
        <v>77.083450071475838</v>
      </c>
      <c r="H19" s="1">
        <f t="shared" si="4"/>
        <v>99.367376457433764</v>
      </c>
      <c r="I19" s="1">
        <f t="shared" si="5"/>
        <v>3.5709715973702032</v>
      </c>
      <c r="K19" s="1">
        <f t="shared" si="7"/>
        <v>3.0373424160810032</v>
      </c>
      <c r="L19" s="1">
        <v>3.4</v>
      </c>
      <c r="M19" s="1">
        <f t="shared" si="6"/>
        <v>-0.36265758391899672</v>
      </c>
    </row>
    <row r="20" spans="1:13" x14ac:dyDescent="0.25">
      <c r="A20" s="1">
        <v>19</v>
      </c>
      <c r="B20" s="1">
        <v>9447</v>
      </c>
      <c r="C20" s="1">
        <v>600</v>
      </c>
      <c r="D20" s="1">
        <f t="shared" si="0"/>
        <v>9447</v>
      </c>
      <c r="E20" s="1">
        <f t="shared" si="1"/>
        <v>9331</v>
      </c>
      <c r="F20" s="1">
        <f t="shared" si="2"/>
        <v>3.5930390471761364</v>
      </c>
      <c r="G20" s="1">
        <f t="shared" si="3"/>
        <v>77.061651945196019</v>
      </c>
      <c r="H20" s="1">
        <f t="shared" si="4"/>
        <v>99.345309007627819</v>
      </c>
      <c r="I20" s="1">
        <f t="shared" si="5"/>
        <v>3.3251882988110424</v>
      </c>
      <c r="K20" s="1">
        <f t="shared" si="7"/>
        <v>3.5709715973702032</v>
      </c>
      <c r="L20" s="1">
        <v>3.4</v>
      </c>
      <c r="M20" s="1">
        <f t="shared" si="6"/>
        <v>0.17097159737020329</v>
      </c>
    </row>
    <row r="21" spans="1:13" x14ac:dyDescent="0.25">
      <c r="A21" s="1">
        <v>20</v>
      </c>
      <c r="B21" s="1">
        <v>9331</v>
      </c>
      <c r="C21" s="1">
        <v>600</v>
      </c>
      <c r="D21" s="1">
        <f t="shared" si="0"/>
        <v>9331</v>
      </c>
      <c r="E21" s="1">
        <f t="shared" si="1"/>
        <v>9218</v>
      </c>
      <c r="F21" s="1">
        <f t="shared" si="2"/>
        <v>3.6410153466902648</v>
      </c>
      <c r="G21" s="1">
        <f t="shared" si="3"/>
        <v>77.329502693561153</v>
      </c>
      <c r="H21" s="1">
        <f t="shared" si="4"/>
        <v>99.029481959748566</v>
      </c>
      <c r="I21" s="1">
        <f t="shared" si="5"/>
        <v>3.3734015508925665</v>
      </c>
      <c r="K21" s="1">
        <f t="shared" si="7"/>
        <v>3.3251882988110424</v>
      </c>
      <c r="L21" s="1">
        <v>3.5</v>
      </c>
      <c r="M21" s="1">
        <f t="shared" si="6"/>
        <v>-0.17481170118895761</v>
      </c>
    </row>
    <row r="22" spans="1:13" x14ac:dyDescent="0.25">
      <c r="A22" s="1">
        <v>21</v>
      </c>
      <c r="B22" s="1">
        <v>9218</v>
      </c>
      <c r="C22" s="1">
        <v>600</v>
      </c>
      <c r="D22" s="1">
        <f t="shared" si="0"/>
        <v>9218</v>
      </c>
      <c r="E22" s="1">
        <f t="shared" si="1"/>
        <v>9108</v>
      </c>
      <c r="F22" s="1">
        <f t="shared" si="2"/>
        <v>3.6888839794342676</v>
      </c>
      <c r="G22" s="1">
        <f t="shared" si="3"/>
        <v>77.597116489358868</v>
      </c>
      <c r="H22" s="1">
        <f t="shared" si="4"/>
        <v>98.713999531206852</v>
      </c>
      <c r="I22" s="1">
        <f t="shared" si="5"/>
        <v>4.0010899425449225</v>
      </c>
      <c r="K22" s="1">
        <f t="shared" si="7"/>
        <v>3.3734015508925665</v>
      </c>
      <c r="L22" s="1">
        <v>3.5</v>
      </c>
      <c r="M22" s="1">
        <f t="shared" si="6"/>
        <v>-0.12659844910743345</v>
      </c>
    </row>
    <row r="23" spans="1:13" x14ac:dyDescent="0.25">
      <c r="A23" s="1">
        <v>22</v>
      </c>
      <c r="B23" s="1">
        <v>9108</v>
      </c>
      <c r="C23" s="1">
        <v>600</v>
      </c>
      <c r="D23" s="1">
        <f t="shared" si="0"/>
        <v>9108</v>
      </c>
      <c r="E23" s="1">
        <f t="shared" si="1"/>
        <v>8995</v>
      </c>
      <c r="F23" s="1">
        <f t="shared" si="2"/>
        <v>3.7307530954773611</v>
      </c>
      <c r="G23" s="1">
        <f t="shared" si="3"/>
        <v>77.28491052624824</v>
      </c>
      <c r="H23" s="1">
        <f t="shared" si="4"/>
        <v>98.984336378274349</v>
      </c>
      <c r="I23" s="1">
        <f t="shared" si="5"/>
        <v>4.3347119061677404</v>
      </c>
      <c r="K23" s="1">
        <f t="shared" si="7"/>
        <v>4.0010899425449225</v>
      </c>
      <c r="L23" s="1">
        <v>3.7</v>
      </c>
      <c r="M23" s="1">
        <f t="shared" si="6"/>
        <v>0.30108994254492227</v>
      </c>
    </row>
    <row r="24" spans="1:13" x14ac:dyDescent="0.25">
      <c r="A24" s="1">
        <v>23</v>
      </c>
      <c r="B24" s="1">
        <v>8995</v>
      </c>
      <c r="C24" s="1">
        <v>600</v>
      </c>
      <c r="D24" s="1">
        <f t="shared" si="0"/>
        <v>8995</v>
      </c>
      <c r="E24" s="1">
        <f t="shared" si="1"/>
        <v>8876</v>
      </c>
      <c r="F24" s="1">
        <f t="shared" si="2"/>
        <v>3.77162755972441</v>
      </c>
      <c r="G24" s="1">
        <f t="shared" si="3"/>
        <v>76.680951715557924</v>
      </c>
      <c r="H24" s="1">
        <f t="shared" si="4"/>
        <v>99.547420724717625</v>
      </c>
      <c r="I24" s="1">
        <f t="shared" si="5"/>
        <v>2.9265650198927062</v>
      </c>
      <c r="K24" s="1">
        <f t="shared" si="7"/>
        <v>4.3347119061677404</v>
      </c>
      <c r="L24" s="1">
        <v>3.9</v>
      </c>
      <c r="M24" s="1">
        <f t="shared" si="6"/>
        <v>0.43471190616774047</v>
      </c>
    </row>
    <row r="25" spans="1:13" x14ac:dyDescent="0.25">
      <c r="A25" s="1">
        <v>24</v>
      </c>
      <c r="B25" s="1">
        <v>8876</v>
      </c>
      <c r="C25" s="1">
        <v>600</v>
      </c>
      <c r="D25" s="1">
        <f t="shared" si="0"/>
        <v>8876</v>
      </c>
      <c r="E25" s="1">
        <f t="shared" si="1"/>
        <v>8766</v>
      </c>
      <c r="F25" s="1">
        <f t="shared" si="2"/>
        <v>3.8319639194331998</v>
      </c>
      <c r="G25" s="1">
        <f t="shared" si="3"/>
        <v>77.526014255389669</v>
      </c>
      <c r="H25" s="1">
        <f t="shared" si="4"/>
        <v>98.642021825177153</v>
      </c>
      <c r="I25" s="1">
        <f t="shared" si="5"/>
        <v>4.1458803294094082</v>
      </c>
      <c r="K25" s="1">
        <f t="shared" si="7"/>
        <v>2.9265650198927062</v>
      </c>
      <c r="L25" s="1">
        <v>3.5</v>
      </c>
      <c r="M25" s="1">
        <f t="shared" si="6"/>
        <v>-0.57343498010729377</v>
      </c>
    </row>
    <row r="26" spans="1:13" x14ac:dyDescent="0.25">
      <c r="A26" s="1">
        <v>25</v>
      </c>
      <c r="B26" s="1">
        <v>8766</v>
      </c>
      <c r="C26" s="1">
        <v>600</v>
      </c>
      <c r="D26" s="1">
        <f t="shared" si="0"/>
        <v>8766</v>
      </c>
      <c r="E26" s="1">
        <f t="shared" si="1"/>
        <v>8653</v>
      </c>
      <c r="F26" s="1">
        <f t="shared" si="2"/>
        <v>3.8773112433653742</v>
      </c>
      <c r="G26" s="1">
        <f t="shared" si="3"/>
        <v>77.212097845413453</v>
      </c>
      <c r="H26" s="1">
        <f t="shared" si="4"/>
        <v>98.910590911221149</v>
      </c>
      <c r="I26" s="1"/>
      <c r="K26" s="1">
        <f t="shared" si="7"/>
        <v>4.1458803294094082</v>
      </c>
      <c r="L26" s="1">
        <v>3.9</v>
      </c>
      <c r="M26" s="1">
        <f t="shared" si="6"/>
        <v>0.24588032940940829</v>
      </c>
    </row>
    <row r="27" spans="1:13" x14ac:dyDescent="0.25">
      <c r="A27" s="1">
        <v>26</v>
      </c>
      <c r="B27" s="1">
        <v>8653</v>
      </c>
      <c r="C27" s="1">
        <v>600</v>
      </c>
      <c r="D27" s="1">
        <f t="shared" si="0"/>
        <v>8653</v>
      </c>
      <c r="E27" s="1"/>
      <c r="F27" s="1"/>
      <c r="G27" s="1"/>
      <c r="H27" s="1"/>
      <c r="I2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Skillicorn</dc:creator>
  <cp:lastModifiedBy>Morgan Skillicorn</cp:lastModifiedBy>
  <dcterms:created xsi:type="dcterms:W3CDTF">2025-10-21T14:43:50Z</dcterms:created>
  <dcterms:modified xsi:type="dcterms:W3CDTF">2025-10-21T15:34:31Z</dcterms:modified>
</cp:coreProperties>
</file>